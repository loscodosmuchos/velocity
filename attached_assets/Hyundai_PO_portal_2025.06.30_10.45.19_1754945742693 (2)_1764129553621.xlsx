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/>
  <mc:AlternateContent xmlns:mc="http://schemas.openxmlformats.org/markup-compatibility/2006">
    <mc:Choice Requires="x15">
      <x15ac:absPath xmlns:x15ac="http://schemas.microsoft.com/office/spreadsheetml/2010/11/ac" url="C:\Users\asuon\Downloads\"/>
    </mc:Choice>
  </mc:AlternateContent>
  <xr:revisionPtr revIDLastSave="28" documentId="13_ncr:1_{A8DDB793-11B3-4C93-B15C-3CC5E575FA51}" xr6:coauthVersionLast="47" xr6:coauthVersionMax="47" xr10:uidLastSave="{2863B82C-23A6-4D23-A24F-4407E171DE5F}"/>
  <bookViews>
    <workbookView xWindow="60" yWindow="-16320" windowWidth="29040" windowHeight="15720" activeTab="2" xr2:uid="{00000000-000D-0000-FFFF-FFFF00000000}"/>
  </bookViews>
  <sheets>
    <sheet name="sheet1" sheetId="1" r:id="rId1"/>
    <sheet name="HYUNDAI PO PORTAL" sheetId="2" r:id="rId2"/>
    <sheet name="BC Hyundai AR Aging" sheetId="3" r:id="rId3"/>
  </sheet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2" i="3"/>
</calcChain>
</file>

<file path=xl/sharedStrings.xml><?xml version="1.0" encoding="utf-8"?>
<sst xmlns="http://schemas.openxmlformats.org/spreadsheetml/2006/main" count="276" uniqueCount="98">
  <si>
    <t>PR Title</t>
  </si>
  <si>
    <t>PO No</t>
  </si>
  <si>
    <t>PO Date</t>
  </si>
  <si>
    <t>PO Amount</t>
  </si>
  <si>
    <t>GR Amount</t>
  </si>
  <si>
    <t>GR Balance</t>
  </si>
  <si>
    <t>Requested Invoice Amount</t>
  </si>
  <si>
    <t>Invoice Amount</t>
  </si>
  <si>
    <t>Invoice Balance</t>
  </si>
  <si>
    <t>Buyer</t>
  </si>
  <si>
    <t>Year End Closing</t>
  </si>
  <si>
    <t/>
  </si>
  <si>
    <t>2025 Procurement/Operation Contractors Renewal - Morgan Weber</t>
  </si>
  <si>
    <t>Yasutomi, Eugene</t>
  </si>
  <si>
    <t>N</t>
  </si>
  <si>
    <t>Safety Office OpEx - 2025 only effort | OCON250019</t>
  </si>
  <si>
    <t>Weber, Morgan</t>
  </si>
  <si>
    <t>Copy_[2024] | [CONTRACTOR] | [SEV-10447 Backfill ( Desktop &amp; Cloud Suppt .) ]</t>
  </si>
  <si>
    <t>KUS GWMS Implementation Phase for Jennifer Nguyen</t>
  </si>
  <si>
    <t>2024 - ES for HMMA GMES Developer Temporary Contractor Extension ( ID #20003 ) for HMMA MES: (Januar</t>
  </si>
  <si>
    <t>HAEA 2025 OPEX SEV-QA Analyst (OCON250511)_Steven Jones</t>
  </si>
  <si>
    <t>2025 Expenditures for Resources Supporting KUS Marketing and Sales (OCON250245)</t>
  </si>
  <si>
    <t>2025 Expenditures for Resources Supporting KUS Marketing and Sales (OCON250245) - Sengchanh Bea Jutiseema</t>
  </si>
  <si>
    <t>2025 Expenditures for Resources Supporting KUS Marketing and Sales (OCON250245) - Sindhuja Namala</t>
  </si>
  <si>
    <t>2025 Expenditures for Resources Supporting KUS Marketing and Sales (OCON250245) - Srinivas Reddy</t>
  </si>
  <si>
    <t>2025 KUS Professional Services/contractors for KDealer+ and Kia University</t>
  </si>
  <si>
    <t>Matsuda, Noreene</t>
  </si>
  <si>
    <t>CBU 2025 OPEX_ SEV-Daytime Dealer Support Resource (IO#OCON400)_Halbert Martinez</t>
  </si>
  <si>
    <t>CBU 2025 OPEX_ SEV-Daytime Dealer Support Resource (IO#OCON400)</t>
  </si>
  <si>
    <t>Contractor - Pramodini Shankar - Project Coordinator</t>
  </si>
  <si>
    <t>Contractor - Keith Trinh - AS400 Programmer (1/1/25 to 6/30/25)</t>
  </si>
  <si>
    <t>CBU 2025 OPEX_ SEV-Daytime Dealer Support Resource (IO#OCON400)_Joe Davis</t>
  </si>
  <si>
    <t>CBU 2025 OPEX_ SEV-Daytime Dealer Support Resource (IO#OCON400)_Joon Lee</t>
  </si>
  <si>
    <t>CBU 2025 OPEX_ SEV-Daytime Dealer Support Resource (IO#OCON400)_Kevin Kuo</t>
  </si>
  <si>
    <t>CBU 2025 OPEX_ SEV-Daytime Dealer Support Resource (IO#OCON400)_Marshall Mbanga</t>
  </si>
  <si>
    <t>CBU 2025 OPEX_ SEV-Daytime Dealer Support Resource (IO#OCON400)_Matthew Ramos</t>
  </si>
  <si>
    <t>CBU 2025 OPEX_ SEV-Daytime Dealer Support Resource (IO#OCON400)_ Sabina Bhattarai</t>
  </si>
  <si>
    <t>CBU 2025 OPEX_ SEV-Daytime Dealer Support Resource (IO#OCON400)_ Stephen Borchert</t>
  </si>
  <si>
    <t>CBU 2025 OPEX_ SEV-Daytime Dealer Support Resource (IO#OCON400)_Terrill James</t>
  </si>
  <si>
    <t>ESS2020223 - OCON250585 - IDC- NOC Operator 3 (M. Balbas)</t>
  </si>
  <si>
    <t>OCON250297 - IDC- NOC Operator 6 - Joseph Bautista</t>
  </si>
  <si>
    <t>OCON250039 - IDC- NOC Operator 7 (Rainier Andres)</t>
  </si>
  <si>
    <t>Balance Staffing L. Macadamia Contractor</t>
  </si>
  <si>
    <t>Balance Staffing C.Trouilliere Workstation Engineering Security Resource</t>
  </si>
  <si>
    <t>Balance Staffing M. Rubio AMG Resource</t>
  </si>
  <si>
    <t>CBU 2025 OPEX_ SEV-Daytime Dealer Support Resource (IO#OCON400)_Alec Griffith</t>
  </si>
  <si>
    <t>2025 Expenditures for Resources Supporting KUS Marketing and Sales (OCON250245) - Venkat Sravan Pentakota</t>
  </si>
  <si>
    <t>CBU 2025 OPEX_ SEV-Daytime Dealer Support Resource (IO#OCON400)_Arthur Lucente</t>
  </si>
  <si>
    <t>WebDCS Foreign Claim Screens</t>
  </si>
  <si>
    <t>KUS KDS Battery Diagnosis Data Warranty Transfer for Jennifer Nguyen</t>
  </si>
  <si>
    <t>OCON250012 - Telecom Analyst Susan Allen</t>
  </si>
  <si>
    <t>2025 KUS Warranty Support for Jennifer Nguyen</t>
  </si>
  <si>
    <t>2005 HMA Warranty Support for Solita Shimoda</t>
  </si>
  <si>
    <t>KUS Siebel Kia Connect CRM application</t>
  </si>
  <si>
    <t>Procurement Buyer III 2025 Renewal - Spencer Wong</t>
  </si>
  <si>
    <t>Executive Assistant to CEO - Stacy Jung (Balance Staffing)</t>
  </si>
  <si>
    <t>[IVI] 2025 Operating Expense(OPEX) ES for IVI department</t>
  </si>
  <si>
    <t>Wong, Spencer</t>
  </si>
  <si>
    <t>ES - KUS CRM NACS Adapter Distribution Process</t>
  </si>
  <si>
    <t>Renewal - Jennifer Phoea</t>
  </si>
  <si>
    <t>Balance Staffing L.Gutierrez AMG Resource</t>
  </si>
  <si>
    <t>OCON250087 - IDC- NOC Operator 4 (Marito Catipay)</t>
  </si>
  <si>
    <t>OCON250023 ? NOC Operator No1 (Jeff Tran)</t>
  </si>
  <si>
    <t>OCON250081-IDC-NOC Operator 2 (Allan Rebullar)</t>
  </si>
  <si>
    <t>WebDCS Genesis Rental Claim for Solita Shimoda</t>
  </si>
  <si>
    <t>Balance Staffing C.Villar Contractor</t>
  </si>
  <si>
    <t>Shakir Riaz Balance Staffing</t>
  </si>
  <si>
    <t>Carlos Falcon Contract Extension</t>
  </si>
  <si>
    <t>GRC Resource - Lavanya Chandra (Balance Staffing)</t>
  </si>
  <si>
    <t>Senior Service Desk Representative Backfill (Patricia Womack)</t>
  </si>
  <si>
    <t>Asset Management Audit and Clean up small project</t>
  </si>
  <si>
    <t>Contractor - Carlito Cruz - AS400 Programmer (1/1/25 to 10/31/25)</t>
  </si>
  <si>
    <t>Renewal Contractor - Suvin Choi</t>
  </si>
  <si>
    <t>GRC Resource - Vishnu Vuppunuthula (Balance Staffing)</t>
  </si>
  <si>
    <t>PM Contractor Renewal - Richard Rodriguez - Q1-Q2 '25</t>
  </si>
  <si>
    <t>PM Contractor Renewal - Shafqat Khan - Q1-Q2 '25</t>
  </si>
  <si>
    <t>OCON250440-IFR-Security Infra-Program Mgr - Mark Schreiman</t>
  </si>
  <si>
    <t>PM Contractor Renewal - Roselyn Uy - Q1-Q2 '25</t>
  </si>
  <si>
    <t>Customer</t>
  </si>
  <si>
    <t>Aging Date (Due Date)</t>
  </si>
  <si>
    <t>Consultant &amp; Period</t>
  </si>
  <si>
    <t>PO Number</t>
  </si>
  <si>
    <t>Document No.</t>
  </si>
  <si>
    <t>Balance Due</t>
  </si>
  <si>
    <t>Current</t>
  </si>
  <si>
    <t>Up To 30 Days</t>
  </si>
  <si>
    <t>31 - 60 Days</t>
  </si>
  <si>
    <t>Over 60 Days</t>
  </si>
  <si>
    <t>H-COMPANY America</t>
  </si>
  <si>
    <t>Mike Jukam - 2024-11-30</t>
  </si>
  <si>
    <t>Mar Catipay - 2024-11-16</t>
  </si>
  <si>
    <t>Joseph Bautista - 2024-12-28</t>
  </si>
  <si>
    <t>Ramesh Vanka -2025-01-04</t>
  </si>
  <si>
    <t>Ramesh Vanka -2025-01-11</t>
  </si>
  <si>
    <t>Ramesh Vanka -2025-01-18</t>
  </si>
  <si>
    <t>Mark Schreiman - 2024-12-21</t>
  </si>
  <si>
    <t>Spencer Wong - 2025-01-18</t>
  </si>
  <si>
    <t>Spencer Wong - 2025-01-25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</si>
</sst>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9"/>
      <color rgb="FF000000"/>
      <name val="Calibri"/>
    </font>
    <font>
      <b/>
      <sz val="9"/>
      <color rgb="FF111111"/>
      <name val="Calibri"/>
      <family val="2"/>
    </font>
    <font>
      <sz val="9"/>
      <color rgb="FF000000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EDEDE"/>
      </right>
      <top/>
      <bottom style="thin">
        <color rgb="FFE1E1E1"/>
      </bottom>
      <diagonal/>
    </border>
    <border>
      <left/>
      <right style="thin">
        <color rgb="FFE1E1E1"/>
      </right>
      <top style="thin">
        <color rgb="FF5A97FC"/>
      </top>
      <bottom style="thin">
        <color rgb="FFE1E1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44" fontId="1" fillId="3" borderId="2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right" vertical="center"/>
    </xf>
    <xf numFmtId="0" fontId="3" fillId="4" borderId="3" xfId="0" applyFont="1" applyFill="1" applyBorder="1"/>
    <xf numFmtId="14" fontId="3" fillId="4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horizontal="left"/>
    </xf>
    <xf numFmtId="44" fontId="3" fillId="4" borderId="3" xfId="1" applyFont="1" applyFill="1" applyBorder="1"/>
    <xf numFmtId="0" fontId="0" fillId="0" borderId="3" xfId="0" applyBorder="1"/>
    <xf numFmtId="1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44" fontId="0" fillId="0" borderId="3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7"/>
  <sheetViews>
    <sheetView workbookViewId="0">
      <selection activeCell="B2" sqref="B2"/>
    </sheetView>
  </sheetViews>
  <sheetFormatPr defaultRowHeight="12"/>
  <cols>
    <col min="1" max="1" width="91.83203125" style="4" customWidth="1"/>
    <col min="2" max="2" width="13"/>
    <col min="3" max="3" width="11"/>
    <col min="4" max="6" width="17" style="3"/>
    <col min="7" max="7" width="23" style="3"/>
    <col min="8" max="9" width="17" style="3"/>
    <col min="10" max="10" width="19.5" bestFit="1" customWidth="1"/>
    <col min="11" max="11" width="17"/>
    <col min="12" max="12" width="15"/>
  </cols>
  <sheetData>
    <row r="1" spans="1:12">
      <c r="A1" s="5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7">
        <v>2000011279</v>
      </c>
      <c r="C2" s="8">
        <v>45673</v>
      </c>
      <c r="D2" s="9">
        <v>42120</v>
      </c>
      <c r="E2" s="9">
        <v>33372</v>
      </c>
      <c r="F2" s="9">
        <v>8748</v>
      </c>
      <c r="G2" s="9">
        <v>5832</v>
      </c>
      <c r="H2" s="9">
        <v>32724</v>
      </c>
      <c r="I2" s="9">
        <v>3564</v>
      </c>
      <c r="J2" s="7" t="s">
        <v>13</v>
      </c>
      <c r="K2" s="7" t="s">
        <v>14</v>
      </c>
      <c r="L2" s="1"/>
    </row>
    <row r="3" spans="1:12">
      <c r="A3" s="1" t="s">
        <v>15</v>
      </c>
      <c r="B3" s="7">
        <v>2000011289</v>
      </c>
      <c r="C3" s="8">
        <v>45678</v>
      </c>
      <c r="D3" s="9">
        <v>175440</v>
      </c>
      <c r="E3" s="9">
        <v>31960</v>
      </c>
      <c r="F3" s="9">
        <v>143480</v>
      </c>
      <c r="G3" s="9">
        <v>0</v>
      </c>
      <c r="H3" s="9">
        <v>28560</v>
      </c>
      <c r="I3" s="9">
        <v>0</v>
      </c>
      <c r="J3" s="7" t="s">
        <v>16</v>
      </c>
      <c r="K3" s="7" t="s">
        <v>14</v>
      </c>
      <c r="L3" s="1"/>
    </row>
    <row r="4" spans="1:12">
      <c r="A4" s="1" t="s">
        <v>17</v>
      </c>
      <c r="B4" s="7">
        <v>2000011308</v>
      </c>
      <c r="C4" s="8">
        <v>45680</v>
      </c>
      <c r="D4" s="9">
        <v>5120</v>
      </c>
      <c r="E4" s="9">
        <v>5120</v>
      </c>
      <c r="F4" s="9">
        <v>0</v>
      </c>
      <c r="G4" s="9">
        <v>0</v>
      </c>
      <c r="H4" s="9">
        <v>5120</v>
      </c>
      <c r="I4" s="9">
        <v>0</v>
      </c>
      <c r="J4" s="7" t="s">
        <v>16</v>
      </c>
      <c r="K4" s="7" t="s">
        <v>14</v>
      </c>
      <c r="L4" s="1"/>
    </row>
    <row r="5" spans="1:12">
      <c r="A5" s="1" t="s">
        <v>18</v>
      </c>
      <c r="B5" s="7">
        <v>2000011325</v>
      </c>
      <c r="C5" s="8">
        <v>45684</v>
      </c>
      <c r="D5" s="9">
        <v>60690</v>
      </c>
      <c r="E5" s="9">
        <v>35210</v>
      </c>
      <c r="F5" s="9">
        <v>25480</v>
      </c>
      <c r="G5" s="9">
        <v>4445</v>
      </c>
      <c r="H5" s="9">
        <v>31430</v>
      </c>
      <c r="I5" s="9">
        <v>24815</v>
      </c>
      <c r="J5" s="7" t="s">
        <v>16</v>
      </c>
      <c r="K5" s="7" t="s">
        <v>14</v>
      </c>
      <c r="L5" s="1"/>
    </row>
    <row r="6" spans="1:12">
      <c r="A6" s="1" t="s">
        <v>19</v>
      </c>
      <c r="B6" s="7">
        <v>2000011366</v>
      </c>
      <c r="C6" s="8">
        <v>45687</v>
      </c>
      <c r="D6" s="9">
        <v>63504</v>
      </c>
      <c r="E6" s="9">
        <v>52116.75</v>
      </c>
      <c r="F6" s="9">
        <v>11387.25</v>
      </c>
      <c r="G6" s="9">
        <v>0</v>
      </c>
      <c r="H6" s="9">
        <v>52116.75</v>
      </c>
      <c r="I6" s="9">
        <v>11387.25</v>
      </c>
      <c r="J6" s="7" t="s">
        <v>16</v>
      </c>
      <c r="K6" s="7" t="s">
        <v>14</v>
      </c>
      <c r="L6" s="1"/>
    </row>
    <row r="7" spans="1:12">
      <c r="A7" s="1" t="s">
        <v>20</v>
      </c>
      <c r="B7" s="7">
        <v>2000011371</v>
      </c>
      <c r="C7" s="8">
        <v>45687</v>
      </c>
      <c r="D7" s="9">
        <v>112051.125</v>
      </c>
      <c r="E7" s="9">
        <v>23458.25</v>
      </c>
      <c r="F7" s="9">
        <v>88592.875</v>
      </c>
      <c r="G7" s="9">
        <v>0</v>
      </c>
      <c r="H7" s="9">
        <v>18527.125</v>
      </c>
      <c r="I7" s="9">
        <v>0</v>
      </c>
      <c r="J7" s="7" t="s">
        <v>16</v>
      </c>
      <c r="K7" s="7" t="s">
        <v>14</v>
      </c>
      <c r="L7" s="1"/>
    </row>
    <row r="8" spans="1:12">
      <c r="A8" s="1" t="s">
        <v>21</v>
      </c>
      <c r="B8" s="7">
        <v>2000011421</v>
      </c>
      <c r="C8" s="8">
        <v>45699</v>
      </c>
      <c r="D8" s="9">
        <v>161600</v>
      </c>
      <c r="E8" s="9">
        <v>80800</v>
      </c>
      <c r="F8" s="9">
        <v>80800</v>
      </c>
      <c r="G8" s="9">
        <v>19200</v>
      </c>
      <c r="H8" s="9">
        <v>61600</v>
      </c>
      <c r="I8" s="9">
        <v>80800</v>
      </c>
      <c r="J8" s="7" t="s">
        <v>16</v>
      </c>
      <c r="K8" s="7" t="s">
        <v>14</v>
      </c>
      <c r="L8" s="1"/>
    </row>
    <row r="9" spans="1:12">
      <c r="A9" s="1" t="s">
        <v>21</v>
      </c>
      <c r="B9" s="7">
        <v>2000011422</v>
      </c>
      <c r="C9" s="8">
        <v>45699</v>
      </c>
      <c r="D9" s="9">
        <v>153520</v>
      </c>
      <c r="E9" s="9">
        <v>78280</v>
      </c>
      <c r="F9" s="9">
        <v>75240</v>
      </c>
      <c r="G9" s="9">
        <v>0</v>
      </c>
      <c r="H9" s="9">
        <v>78280</v>
      </c>
      <c r="I9" s="9">
        <v>75240</v>
      </c>
      <c r="J9" s="7" t="s">
        <v>16</v>
      </c>
      <c r="K9" s="7" t="s">
        <v>14</v>
      </c>
      <c r="L9" s="1"/>
    </row>
    <row r="10" spans="1:12">
      <c r="A10" s="1" t="s">
        <v>21</v>
      </c>
      <c r="B10" s="7">
        <v>2000011423</v>
      </c>
      <c r="C10" s="8">
        <v>45699</v>
      </c>
      <c r="D10" s="9">
        <v>153520</v>
      </c>
      <c r="E10" s="9">
        <v>79800</v>
      </c>
      <c r="F10" s="9">
        <v>73720</v>
      </c>
      <c r="G10" s="9">
        <v>10640</v>
      </c>
      <c r="H10" s="9">
        <v>79800</v>
      </c>
      <c r="I10" s="9">
        <v>63080</v>
      </c>
      <c r="J10" s="7" t="s">
        <v>16</v>
      </c>
      <c r="K10" s="7" t="s">
        <v>14</v>
      </c>
      <c r="L10" s="1"/>
    </row>
    <row r="11" spans="1:12">
      <c r="A11" s="1" t="s">
        <v>22</v>
      </c>
      <c r="B11" s="7">
        <v>2000011424</v>
      </c>
      <c r="C11" s="8">
        <v>45699</v>
      </c>
      <c r="D11" s="9">
        <v>161600</v>
      </c>
      <c r="E11" s="9">
        <v>85600</v>
      </c>
      <c r="F11" s="9">
        <v>76000</v>
      </c>
      <c r="G11" s="9">
        <v>0</v>
      </c>
      <c r="H11" s="9">
        <v>85600</v>
      </c>
      <c r="I11" s="9">
        <v>76000</v>
      </c>
      <c r="J11" s="7" t="s">
        <v>16</v>
      </c>
      <c r="K11" s="7" t="s">
        <v>14</v>
      </c>
      <c r="L11" s="1"/>
    </row>
    <row r="12" spans="1:12">
      <c r="A12" s="1" t="s">
        <v>23</v>
      </c>
      <c r="B12" s="7">
        <v>2000011425</v>
      </c>
      <c r="C12" s="8">
        <v>45699</v>
      </c>
      <c r="D12" s="9">
        <v>134128</v>
      </c>
      <c r="E12" s="9">
        <v>69720</v>
      </c>
      <c r="F12" s="9">
        <v>64408</v>
      </c>
      <c r="G12" s="9">
        <v>9296</v>
      </c>
      <c r="H12" s="9">
        <v>69720</v>
      </c>
      <c r="I12" s="9">
        <v>55112</v>
      </c>
      <c r="J12" s="7" t="s">
        <v>16</v>
      </c>
      <c r="K12" s="7" t="s">
        <v>14</v>
      </c>
      <c r="L12" s="1"/>
    </row>
    <row r="13" spans="1:12">
      <c r="A13" s="1" t="s">
        <v>24</v>
      </c>
      <c r="B13" s="7">
        <v>2000011426</v>
      </c>
      <c r="C13" s="8">
        <v>45699</v>
      </c>
      <c r="D13" s="9">
        <v>161600</v>
      </c>
      <c r="E13" s="9">
        <v>84000</v>
      </c>
      <c r="F13" s="9">
        <v>77600</v>
      </c>
      <c r="G13" s="9">
        <v>19200</v>
      </c>
      <c r="H13" s="9">
        <v>64800</v>
      </c>
      <c r="I13" s="9">
        <v>77600</v>
      </c>
      <c r="J13" s="7" t="s">
        <v>16</v>
      </c>
      <c r="K13" s="7" t="s">
        <v>14</v>
      </c>
      <c r="L13" s="1"/>
    </row>
    <row r="14" spans="1:12">
      <c r="A14" s="1" t="s">
        <v>25</v>
      </c>
      <c r="B14" s="7">
        <v>2000011428</v>
      </c>
      <c r="C14" s="8">
        <v>45699</v>
      </c>
      <c r="D14" s="9">
        <v>190000</v>
      </c>
      <c r="E14" s="9">
        <v>77448.75</v>
      </c>
      <c r="F14" s="9">
        <v>112551.25</v>
      </c>
      <c r="G14" s="9">
        <v>10165</v>
      </c>
      <c r="H14" s="9">
        <v>77448.75</v>
      </c>
      <c r="I14" s="9">
        <v>102386.25</v>
      </c>
      <c r="J14" s="7" t="s">
        <v>26</v>
      </c>
      <c r="K14" s="7" t="s">
        <v>14</v>
      </c>
      <c r="L14" s="1"/>
    </row>
    <row r="15" spans="1:12">
      <c r="A15" s="1" t="s">
        <v>27</v>
      </c>
      <c r="B15" s="7">
        <v>2000011473</v>
      </c>
      <c r="C15" s="8">
        <v>45704</v>
      </c>
      <c r="D15" s="9">
        <v>83800</v>
      </c>
      <c r="E15" s="9">
        <v>34456</v>
      </c>
      <c r="F15" s="9">
        <v>49344</v>
      </c>
      <c r="G15" s="9">
        <v>3180</v>
      </c>
      <c r="H15" s="9">
        <v>34456</v>
      </c>
      <c r="I15" s="9">
        <v>46164</v>
      </c>
      <c r="J15" s="7" t="s">
        <v>16</v>
      </c>
      <c r="K15" s="7" t="s">
        <v>14</v>
      </c>
      <c r="L15" s="1"/>
    </row>
    <row r="16" spans="1:12">
      <c r="A16" s="1" t="s">
        <v>28</v>
      </c>
      <c r="B16" s="7">
        <v>2000011474</v>
      </c>
      <c r="C16" s="8">
        <v>45704</v>
      </c>
      <c r="D16" s="9">
        <v>44732.32</v>
      </c>
      <c r="E16" s="9">
        <v>44724.32</v>
      </c>
      <c r="F16" s="9">
        <v>8</v>
      </c>
      <c r="G16" s="9">
        <v>0</v>
      </c>
      <c r="H16" s="9">
        <v>44724.32</v>
      </c>
      <c r="I16" s="9">
        <v>8</v>
      </c>
      <c r="J16" s="7" t="s">
        <v>16</v>
      </c>
      <c r="K16" s="7" t="s">
        <v>14</v>
      </c>
      <c r="L16" s="1"/>
    </row>
    <row r="17" spans="1:12">
      <c r="A17" s="1" t="s">
        <v>29</v>
      </c>
      <c r="B17" s="7">
        <v>2000011476</v>
      </c>
      <c r="C17" s="8">
        <v>45704</v>
      </c>
      <c r="D17" s="9">
        <v>55440</v>
      </c>
      <c r="E17" s="9">
        <v>44701.25</v>
      </c>
      <c r="F17" s="9">
        <v>10738.75</v>
      </c>
      <c r="G17" s="9">
        <v>6160</v>
      </c>
      <c r="H17" s="9">
        <v>38541.25</v>
      </c>
      <c r="I17" s="9">
        <v>10738.75</v>
      </c>
      <c r="J17" s="7" t="s">
        <v>16</v>
      </c>
      <c r="K17" s="7" t="s">
        <v>14</v>
      </c>
      <c r="L17" s="1"/>
    </row>
    <row r="18" spans="1:12">
      <c r="A18" s="1" t="s">
        <v>30</v>
      </c>
      <c r="B18" s="7">
        <v>2000011488</v>
      </c>
      <c r="C18" s="8">
        <v>45705</v>
      </c>
      <c r="D18" s="9">
        <v>63583</v>
      </c>
      <c r="E18" s="9">
        <v>56356</v>
      </c>
      <c r="F18" s="9">
        <v>7227</v>
      </c>
      <c r="G18" s="9">
        <v>7008</v>
      </c>
      <c r="H18" s="9">
        <v>49348</v>
      </c>
      <c r="I18" s="9">
        <v>7227</v>
      </c>
      <c r="J18" s="7" t="s">
        <v>16</v>
      </c>
      <c r="K18" s="7" t="s">
        <v>14</v>
      </c>
      <c r="L18" s="1"/>
    </row>
    <row r="19" spans="1:12">
      <c r="A19" s="1" t="s">
        <v>31</v>
      </c>
      <c r="B19" s="7">
        <v>2000011490</v>
      </c>
      <c r="C19" s="8">
        <v>45706</v>
      </c>
      <c r="D19" s="9">
        <v>78562.5</v>
      </c>
      <c r="E19" s="9">
        <v>33468.75</v>
      </c>
      <c r="F19" s="9">
        <v>45093.75</v>
      </c>
      <c r="G19" s="9">
        <v>2700</v>
      </c>
      <c r="H19" s="9">
        <v>33468.75</v>
      </c>
      <c r="I19" s="9">
        <v>42393.75</v>
      </c>
      <c r="J19" s="7" t="s">
        <v>16</v>
      </c>
      <c r="K19" s="7" t="s">
        <v>14</v>
      </c>
      <c r="L19" s="1"/>
    </row>
    <row r="20" spans="1:12">
      <c r="A20" s="1" t="s">
        <v>32</v>
      </c>
      <c r="B20" s="7">
        <v>2000011491</v>
      </c>
      <c r="C20" s="8">
        <v>45706</v>
      </c>
      <c r="D20" s="9">
        <v>78604.399999999994</v>
      </c>
      <c r="E20" s="9">
        <v>35099.96</v>
      </c>
      <c r="F20" s="9">
        <v>43504.44</v>
      </c>
      <c r="G20" s="9">
        <v>3001.6</v>
      </c>
      <c r="H20" s="9">
        <v>35099.96</v>
      </c>
      <c r="I20" s="9">
        <v>40502.839999999997</v>
      </c>
      <c r="J20" s="7" t="s">
        <v>16</v>
      </c>
      <c r="K20" s="7" t="s">
        <v>14</v>
      </c>
      <c r="L20" s="1"/>
    </row>
    <row r="21" spans="1:12">
      <c r="A21" s="1" t="s">
        <v>33</v>
      </c>
      <c r="B21" s="7">
        <v>2000011492</v>
      </c>
      <c r="C21" s="8">
        <v>45706</v>
      </c>
      <c r="D21" s="9">
        <v>89666</v>
      </c>
      <c r="E21" s="9">
        <v>39675.599999999999</v>
      </c>
      <c r="F21" s="9">
        <v>49990.400000000001</v>
      </c>
      <c r="G21" s="9">
        <v>3488.2</v>
      </c>
      <c r="H21" s="9">
        <v>39675.599999999999</v>
      </c>
      <c r="I21" s="9">
        <v>46502.2</v>
      </c>
      <c r="J21" s="7" t="s">
        <v>16</v>
      </c>
      <c r="K21" s="7" t="s">
        <v>14</v>
      </c>
      <c r="L21" s="1"/>
    </row>
    <row r="22" spans="1:12">
      <c r="A22" s="1" t="s">
        <v>34</v>
      </c>
      <c r="B22" s="7">
        <v>2000011493</v>
      </c>
      <c r="C22" s="8">
        <v>45706</v>
      </c>
      <c r="D22" s="9">
        <v>83800</v>
      </c>
      <c r="E22" s="9">
        <v>35510</v>
      </c>
      <c r="F22" s="9">
        <v>48290</v>
      </c>
      <c r="G22" s="9">
        <v>3200</v>
      </c>
      <c r="H22" s="9">
        <v>35510</v>
      </c>
      <c r="I22" s="9">
        <v>45090</v>
      </c>
      <c r="J22" s="7" t="s">
        <v>16</v>
      </c>
      <c r="K22" s="7" t="s">
        <v>14</v>
      </c>
      <c r="L22" s="1"/>
    </row>
    <row r="23" spans="1:12">
      <c r="A23" s="1" t="s">
        <v>35</v>
      </c>
      <c r="B23" s="7">
        <v>2000011494</v>
      </c>
      <c r="C23" s="8">
        <v>45706</v>
      </c>
      <c r="D23" s="9">
        <v>76844.600000000006</v>
      </c>
      <c r="E23" s="9">
        <v>31764.880000000001</v>
      </c>
      <c r="F23" s="9">
        <v>45079.72</v>
      </c>
      <c r="G23" s="9">
        <v>2640.96</v>
      </c>
      <c r="H23" s="9">
        <v>31764.880000000001</v>
      </c>
      <c r="I23" s="9">
        <v>42438.76</v>
      </c>
      <c r="J23" s="7" t="s">
        <v>16</v>
      </c>
      <c r="K23" s="7" t="s">
        <v>14</v>
      </c>
      <c r="L23" s="1"/>
    </row>
    <row r="24" spans="1:12">
      <c r="A24" s="1" t="s">
        <v>36</v>
      </c>
      <c r="B24" s="7">
        <v>2000011495</v>
      </c>
      <c r="C24" s="8">
        <v>45706</v>
      </c>
      <c r="D24" s="9">
        <v>83800</v>
      </c>
      <c r="E24" s="9">
        <v>36100</v>
      </c>
      <c r="F24" s="9">
        <v>47700</v>
      </c>
      <c r="G24" s="9">
        <v>3260</v>
      </c>
      <c r="H24" s="9">
        <v>36100</v>
      </c>
      <c r="I24" s="9">
        <v>44440</v>
      </c>
      <c r="J24" s="7" t="s">
        <v>16</v>
      </c>
      <c r="K24" s="7" t="s">
        <v>14</v>
      </c>
      <c r="L24" s="1"/>
    </row>
    <row r="25" spans="1:12">
      <c r="A25" s="1" t="s">
        <v>37</v>
      </c>
      <c r="B25" s="7">
        <v>2000011496</v>
      </c>
      <c r="C25" s="8">
        <v>45706</v>
      </c>
      <c r="D25" s="9">
        <v>80678.5</v>
      </c>
      <c r="E25" s="9">
        <v>36497.902499999997</v>
      </c>
      <c r="F25" s="9">
        <v>44180.597500000003</v>
      </c>
      <c r="G25" s="9">
        <v>3138.5650000000001</v>
      </c>
      <c r="H25" s="9">
        <v>36497.863989999998</v>
      </c>
      <c r="I25" s="9">
        <v>41042.07101</v>
      </c>
      <c r="J25" s="7" t="s">
        <v>16</v>
      </c>
      <c r="K25" s="7" t="s">
        <v>14</v>
      </c>
      <c r="L25" s="1"/>
    </row>
    <row r="26" spans="1:12">
      <c r="A26" s="1" t="s">
        <v>38</v>
      </c>
      <c r="B26" s="7">
        <v>2000011497</v>
      </c>
      <c r="C26" s="8">
        <v>45706</v>
      </c>
      <c r="D26" s="9">
        <v>75860</v>
      </c>
      <c r="E26" s="9">
        <v>38799.065000000002</v>
      </c>
      <c r="F26" s="9">
        <v>37060.934999999998</v>
      </c>
      <c r="G26" s="9">
        <v>7676.52</v>
      </c>
      <c r="H26" s="9">
        <v>37785.184999999998</v>
      </c>
      <c r="I26" s="9">
        <v>30398.294999999998</v>
      </c>
      <c r="J26" s="7" t="s">
        <v>16</v>
      </c>
      <c r="K26" s="7" t="s">
        <v>14</v>
      </c>
      <c r="L26" s="1"/>
    </row>
    <row r="27" spans="1:12">
      <c r="A27" s="1" t="s">
        <v>39</v>
      </c>
      <c r="B27" s="7">
        <v>2000011512</v>
      </c>
      <c r="C27" s="8">
        <v>45707</v>
      </c>
      <c r="D27" s="9">
        <v>31980</v>
      </c>
      <c r="E27" s="9">
        <v>23944</v>
      </c>
      <c r="F27" s="9">
        <v>8036</v>
      </c>
      <c r="G27" s="9">
        <v>3280</v>
      </c>
      <c r="H27" s="9">
        <v>22304</v>
      </c>
      <c r="I27" s="9">
        <v>6396</v>
      </c>
      <c r="J27" s="7" t="s">
        <v>16</v>
      </c>
      <c r="K27" s="7" t="s">
        <v>14</v>
      </c>
      <c r="L27" s="1"/>
    </row>
    <row r="28" spans="1:12">
      <c r="A28" s="1" t="s">
        <v>40</v>
      </c>
      <c r="B28" s="7">
        <v>2000011513</v>
      </c>
      <c r="C28" s="8">
        <v>45707</v>
      </c>
      <c r="D28" s="9">
        <v>46410</v>
      </c>
      <c r="E28" s="9">
        <v>34000</v>
      </c>
      <c r="F28" s="9">
        <v>12410</v>
      </c>
      <c r="G28" s="9">
        <v>9180</v>
      </c>
      <c r="H28" s="9">
        <v>32300</v>
      </c>
      <c r="I28" s="9">
        <v>4930</v>
      </c>
      <c r="J28" s="7" t="s">
        <v>16</v>
      </c>
      <c r="K28" s="7" t="s">
        <v>14</v>
      </c>
      <c r="L28" s="1"/>
    </row>
    <row r="29" spans="1:12">
      <c r="A29" s="1" t="s">
        <v>41</v>
      </c>
      <c r="B29" s="7">
        <v>2000011514</v>
      </c>
      <c r="C29" s="8">
        <v>45707</v>
      </c>
      <c r="D29" s="9">
        <v>46740</v>
      </c>
      <c r="E29" s="9">
        <v>38212</v>
      </c>
      <c r="F29" s="9">
        <v>8528</v>
      </c>
      <c r="G29" s="9">
        <v>9696.4179999999997</v>
      </c>
      <c r="H29" s="9">
        <v>36572</v>
      </c>
      <c r="I29" s="9">
        <v>471.58199999999999</v>
      </c>
      <c r="J29" s="7" t="s">
        <v>16</v>
      </c>
      <c r="K29" s="7" t="s">
        <v>14</v>
      </c>
      <c r="L29" s="1"/>
    </row>
    <row r="30" spans="1:12">
      <c r="A30" s="1" t="s">
        <v>42</v>
      </c>
      <c r="B30" s="7">
        <v>2000011516</v>
      </c>
      <c r="C30" s="8">
        <v>45707</v>
      </c>
      <c r="D30" s="9">
        <v>29045.759999999998</v>
      </c>
      <c r="E30" s="9">
        <v>27457.32</v>
      </c>
      <c r="F30" s="9">
        <v>1588.44</v>
      </c>
      <c r="G30" s="9">
        <v>0</v>
      </c>
      <c r="H30" s="9">
        <v>27457.32</v>
      </c>
      <c r="I30" s="9">
        <v>1588.44</v>
      </c>
      <c r="J30" s="7" t="s">
        <v>16</v>
      </c>
      <c r="K30" s="7" t="s">
        <v>14</v>
      </c>
      <c r="L30" s="1"/>
    </row>
    <row r="31" spans="1:12">
      <c r="A31" s="1" t="s">
        <v>43</v>
      </c>
      <c r="B31" s="7">
        <v>2000011517</v>
      </c>
      <c r="C31" s="8">
        <v>45707</v>
      </c>
      <c r="D31" s="9">
        <v>94473.600000000006</v>
      </c>
      <c r="E31" s="9">
        <v>36699.360000000001</v>
      </c>
      <c r="F31" s="9">
        <v>57774.239999999998</v>
      </c>
      <c r="G31" s="9">
        <v>1816.8</v>
      </c>
      <c r="H31" s="9">
        <v>36699.360000000001</v>
      </c>
      <c r="I31" s="9">
        <v>55957.440000000002</v>
      </c>
      <c r="J31" s="7" t="s">
        <v>16</v>
      </c>
      <c r="K31" s="7" t="s">
        <v>14</v>
      </c>
      <c r="L31" s="1"/>
    </row>
    <row r="32" spans="1:12">
      <c r="A32" s="1" t="s">
        <v>44</v>
      </c>
      <c r="B32" s="7">
        <v>2000011518</v>
      </c>
      <c r="C32" s="8">
        <v>45707</v>
      </c>
      <c r="D32" s="9">
        <v>117406.08</v>
      </c>
      <c r="E32" s="9">
        <v>61126.559999999998</v>
      </c>
      <c r="F32" s="9">
        <v>56279.519999999997</v>
      </c>
      <c r="G32" s="9">
        <v>1615.68</v>
      </c>
      <c r="H32" s="9">
        <v>61126.559999999998</v>
      </c>
      <c r="I32" s="9">
        <v>54663.839999999997</v>
      </c>
      <c r="J32" s="7" t="s">
        <v>16</v>
      </c>
      <c r="K32" s="7" t="s">
        <v>14</v>
      </c>
      <c r="L32" s="1"/>
    </row>
    <row r="33" spans="1:12">
      <c r="A33" s="1" t="s">
        <v>45</v>
      </c>
      <c r="B33" s="7">
        <v>2000011535</v>
      </c>
      <c r="C33" s="8">
        <v>45711</v>
      </c>
      <c r="D33" s="9">
        <v>71020.5</v>
      </c>
      <c r="E33" s="9">
        <v>30569.325000000001</v>
      </c>
      <c r="F33" s="9">
        <v>40451.175000000003</v>
      </c>
      <c r="G33" s="9">
        <v>2703.5250000000001</v>
      </c>
      <c r="H33" s="9">
        <v>30569.325000000001</v>
      </c>
      <c r="I33" s="9">
        <v>37747.65</v>
      </c>
      <c r="J33" s="7" t="s">
        <v>16</v>
      </c>
      <c r="K33" s="7" t="s">
        <v>14</v>
      </c>
      <c r="L33" s="1"/>
    </row>
    <row r="34" spans="1:12">
      <c r="A34" s="1" t="s">
        <v>46</v>
      </c>
      <c r="B34" s="7">
        <v>2000011539</v>
      </c>
      <c r="C34" s="8">
        <v>45711</v>
      </c>
      <c r="D34" s="9">
        <v>153520</v>
      </c>
      <c r="E34" s="9">
        <v>76760</v>
      </c>
      <c r="F34" s="9">
        <v>76760</v>
      </c>
      <c r="G34" s="9">
        <v>18240</v>
      </c>
      <c r="H34" s="9">
        <v>58520</v>
      </c>
      <c r="I34" s="9">
        <v>76760</v>
      </c>
      <c r="J34" s="7" t="s">
        <v>16</v>
      </c>
      <c r="K34" s="7" t="s">
        <v>14</v>
      </c>
      <c r="L34" s="1"/>
    </row>
    <row r="35" spans="1:12">
      <c r="A35" s="1" t="s">
        <v>21</v>
      </c>
      <c r="B35" s="7">
        <v>2000011540</v>
      </c>
      <c r="C35" s="8">
        <v>45711</v>
      </c>
      <c r="D35" s="9">
        <v>153520</v>
      </c>
      <c r="E35" s="9">
        <v>79800</v>
      </c>
      <c r="F35" s="9">
        <v>73720</v>
      </c>
      <c r="G35" s="9">
        <v>10640</v>
      </c>
      <c r="H35" s="9">
        <v>79800</v>
      </c>
      <c r="I35" s="9">
        <v>63080</v>
      </c>
      <c r="J35" s="7" t="s">
        <v>16</v>
      </c>
      <c r="K35" s="7" t="s">
        <v>14</v>
      </c>
      <c r="L35" s="1"/>
    </row>
    <row r="36" spans="1:12">
      <c r="A36" s="1" t="s">
        <v>21</v>
      </c>
      <c r="B36" s="7">
        <v>2000011541</v>
      </c>
      <c r="C36" s="8">
        <v>45711</v>
      </c>
      <c r="D36" s="9">
        <v>153520</v>
      </c>
      <c r="E36" s="9">
        <v>74290</v>
      </c>
      <c r="F36" s="9">
        <v>79230</v>
      </c>
      <c r="G36" s="9">
        <v>18240</v>
      </c>
      <c r="H36" s="9">
        <v>56050</v>
      </c>
      <c r="I36" s="9">
        <v>79230</v>
      </c>
      <c r="J36" s="7" t="s">
        <v>16</v>
      </c>
      <c r="K36" s="7" t="s">
        <v>14</v>
      </c>
      <c r="L36" s="1"/>
    </row>
    <row r="37" spans="1:12">
      <c r="A37" s="1" t="s">
        <v>47</v>
      </c>
      <c r="B37" s="7">
        <v>2000011584</v>
      </c>
      <c r="C37" s="8">
        <v>45718</v>
      </c>
      <c r="D37" s="9">
        <v>72822.2</v>
      </c>
      <c r="E37" s="9">
        <v>30446.979200000002</v>
      </c>
      <c r="F37" s="9">
        <v>42375.220800000003</v>
      </c>
      <c r="G37" s="9">
        <v>2502.7199999999998</v>
      </c>
      <c r="H37" s="9">
        <v>30310.720000000001</v>
      </c>
      <c r="I37" s="9">
        <v>40008.76</v>
      </c>
      <c r="J37" s="7" t="s">
        <v>16</v>
      </c>
      <c r="K37" s="7" t="s">
        <v>14</v>
      </c>
      <c r="L37" s="1"/>
    </row>
    <row r="38" spans="1:12">
      <c r="A38" s="1" t="s">
        <v>48</v>
      </c>
      <c r="B38" s="7">
        <v>2000011597</v>
      </c>
      <c r="C38" s="8">
        <v>45718</v>
      </c>
      <c r="D38" s="9">
        <v>30400</v>
      </c>
      <c r="E38" s="9">
        <v>30400</v>
      </c>
      <c r="F38" s="9">
        <v>0</v>
      </c>
      <c r="G38" s="9">
        <v>1440</v>
      </c>
      <c r="H38" s="9">
        <v>11520</v>
      </c>
      <c r="I38" s="9">
        <v>17440</v>
      </c>
      <c r="J38" s="7" t="s">
        <v>16</v>
      </c>
      <c r="K38" s="7" t="s">
        <v>14</v>
      </c>
      <c r="L38" s="1"/>
    </row>
    <row r="39" spans="1:12">
      <c r="A39" s="1" t="s">
        <v>49</v>
      </c>
      <c r="B39" s="7">
        <v>2000011618</v>
      </c>
      <c r="C39" s="8">
        <v>45726</v>
      </c>
      <c r="D39" s="9">
        <v>10220</v>
      </c>
      <c r="E39" s="9">
        <v>10220</v>
      </c>
      <c r="F39" s="9">
        <v>0</v>
      </c>
      <c r="G39" s="9">
        <v>0</v>
      </c>
      <c r="H39" s="9">
        <v>8680</v>
      </c>
      <c r="I39" s="9">
        <v>1540</v>
      </c>
      <c r="J39" s="7" t="s">
        <v>16</v>
      </c>
      <c r="K39" s="7" t="s">
        <v>14</v>
      </c>
      <c r="L39" s="1"/>
    </row>
    <row r="40" spans="1:12">
      <c r="A40" s="1" t="s">
        <v>50</v>
      </c>
      <c r="B40" s="7">
        <v>2000011659</v>
      </c>
      <c r="C40" s="8">
        <v>45736</v>
      </c>
      <c r="D40" s="9">
        <v>116480</v>
      </c>
      <c r="E40" s="9">
        <v>44352</v>
      </c>
      <c r="F40" s="9">
        <v>72128</v>
      </c>
      <c r="G40" s="9">
        <v>8064</v>
      </c>
      <c r="H40" s="9">
        <v>44352</v>
      </c>
      <c r="I40" s="9">
        <v>64064</v>
      </c>
      <c r="J40" s="7" t="s">
        <v>16</v>
      </c>
      <c r="K40" s="7" t="s">
        <v>14</v>
      </c>
      <c r="L40" s="1"/>
    </row>
    <row r="41" spans="1:12">
      <c r="A41" s="1" t="s">
        <v>51</v>
      </c>
      <c r="B41" s="7">
        <v>2000011669</v>
      </c>
      <c r="C41" s="8">
        <v>45736</v>
      </c>
      <c r="D41" s="9">
        <v>140000</v>
      </c>
      <c r="E41" s="9">
        <v>41650</v>
      </c>
      <c r="F41" s="9">
        <v>98350</v>
      </c>
      <c r="G41" s="9">
        <v>6650</v>
      </c>
      <c r="H41" s="9">
        <v>40250</v>
      </c>
      <c r="I41" s="9">
        <v>93100</v>
      </c>
      <c r="J41" s="7" t="s">
        <v>16</v>
      </c>
      <c r="K41" s="7" t="s">
        <v>14</v>
      </c>
      <c r="L41" s="1"/>
    </row>
    <row r="42" spans="1:12">
      <c r="A42" s="1" t="s">
        <v>52</v>
      </c>
      <c r="B42" s="7">
        <v>2000011670</v>
      </c>
      <c r="C42" s="8">
        <v>45736</v>
      </c>
      <c r="D42" s="9">
        <v>80000</v>
      </c>
      <c r="E42" s="9">
        <v>0</v>
      </c>
      <c r="F42" s="9">
        <v>80000</v>
      </c>
      <c r="G42" s="9">
        <v>37120</v>
      </c>
      <c r="H42" s="9">
        <v>0</v>
      </c>
      <c r="I42" s="9">
        <v>42880</v>
      </c>
      <c r="J42" s="7" t="s">
        <v>16</v>
      </c>
      <c r="K42" s="7" t="s">
        <v>14</v>
      </c>
      <c r="L42" s="1"/>
    </row>
    <row r="43" spans="1:12">
      <c r="A43" s="1" t="s">
        <v>53</v>
      </c>
      <c r="B43" s="7">
        <v>2000011673</v>
      </c>
      <c r="C43" s="8">
        <v>45739</v>
      </c>
      <c r="D43" s="9">
        <v>95000</v>
      </c>
      <c r="E43" s="9">
        <v>38760</v>
      </c>
      <c r="F43" s="9">
        <v>56240</v>
      </c>
      <c r="G43" s="9">
        <v>54340</v>
      </c>
      <c r="H43" s="9">
        <v>38000</v>
      </c>
      <c r="I43" s="9">
        <v>2660</v>
      </c>
      <c r="J43" s="7" t="s">
        <v>16</v>
      </c>
      <c r="K43" s="7" t="s">
        <v>14</v>
      </c>
      <c r="L43" s="1"/>
    </row>
    <row r="44" spans="1:12">
      <c r="A44" s="1" t="s">
        <v>54</v>
      </c>
      <c r="B44" s="7">
        <v>2000011675</v>
      </c>
      <c r="C44" s="8">
        <v>45739</v>
      </c>
      <c r="D44" s="9">
        <v>96000</v>
      </c>
      <c r="E44" s="9">
        <v>40320</v>
      </c>
      <c r="F44" s="9">
        <v>55680</v>
      </c>
      <c r="G44" s="9">
        <v>7200</v>
      </c>
      <c r="H44" s="9">
        <v>40320</v>
      </c>
      <c r="I44" s="9">
        <v>48480</v>
      </c>
      <c r="J44" s="7" t="s">
        <v>13</v>
      </c>
      <c r="K44" s="7" t="s">
        <v>14</v>
      </c>
      <c r="L44" s="1"/>
    </row>
    <row r="45" spans="1:12">
      <c r="A45" s="1" t="s">
        <v>55</v>
      </c>
      <c r="B45" s="7">
        <v>2000011676</v>
      </c>
      <c r="C45" s="8">
        <v>45739</v>
      </c>
      <c r="D45" s="9">
        <v>120000</v>
      </c>
      <c r="E45" s="9">
        <v>27015.599999999999</v>
      </c>
      <c r="F45" s="9">
        <v>92984.4</v>
      </c>
      <c r="G45" s="9">
        <v>5670</v>
      </c>
      <c r="H45" s="9">
        <v>27015.3</v>
      </c>
      <c r="I45" s="9">
        <v>87314.7</v>
      </c>
      <c r="J45" s="7" t="s">
        <v>16</v>
      </c>
      <c r="K45" s="7" t="s">
        <v>14</v>
      </c>
      <c r="L45" s="1"/>
    </row>
    <row r="46" spans="1:12">
      <c r="A46" s="1" t="s">
        <v>56</v>
      </c>
      <c r="B46" s="7">
        <v>2000011689</v>
      </c>
      <c r="C46" s="8">
        <v>45741</v>
      </c>
      <c r="D46" s="9">
        <v>25708.799999999999</v>
      </c>
      <c r="E46" s="9">
        <v>5932.8</v>
      </c>
      <c r="F46" s="9">
        <v>19776</v>
      </c>
      <c r="G46" s="9">
        <v>3757.44</v>
      </c>
      <c r="H46" s="9">
        <v>5932.8</v>
      </c>
      <c r="I46" s="9">
        <v>16018.56</v>
      </c>
      <c r="J46" s="7" t="s">
        <v>57</v>
      </c>
      <c r="K46" s="7" t="s">
        <v>14</v>
      </c>
      <c r="L46" s="1"/>
    </row>
    <row r="47" spans="1:12">
      <c r="A47" s="1" t="s">
        <v>58</v>
      </c>
      <c r="B47" s="7">
        <v>2000011698</v>
      </c>
      <c r="C47" s="8">
        <v>45742</v>
      </c>
      <c r="D47" s="9">
        <v>33440</v>
      </c>
      <c r="E47" s="9">
        <v>32680</v>
      </c>
      <c r="F47" s="9">
        <v>760</v>
      </c>
      <c r="G47" s="9">
        <v>0</v>
      </c>
      <c r="H47" s="9">
        <v>32680</v>
      </c>
      <c r="I47" s="9">
        <v>760</v>
      </c>
      <c r="J47" s="7" t="s">
        <v>26</v>
      </c>
      <c r="K47" s="7" t="s">
        <v>14</v>
      </c>
      <c r="L47" s="1"/>
    </row>
    <row r="48" spans="1:12">
      <c r="A48" s="1" t="s">
        <v>59</v>
      </c>
      <c r="B48" s="7">
        <v>2000011712</v>
      </c>
      <c r="C48" s="8">
        <v>45743</v>
      </c>
      <c r="D48" s="9">
        <v>42224</v>
      </c>
      <c r="E48" s="9">
        <v>21283.08</v>
      </c>
      <c r="F48" s="9">
        <v>20940.919999999998</v>
      </c>
      <c r="G48" s="9">
        <v>2375.1</v>
      </c>
      <c r="H48" s="9">
        <v>18907.98</v>
      </c>
      <c r="I48" s="9">
        <v>20940.919999999998</v>
      </c>
      <c r="J48" s="7" t="s">
        <v>16</v>
      </c>
      <c r="K48" s="7" t="s">
        <v>14</v>
      </c>
      <c r="L48" s="1"/>
    </row>
    <row r="49" spans="1:12">
      <c r="A49" s="1" t="s">
        <v>60</v>
      </c>
      <c r="B49" s="7">
        <v>2000011806</v>
      </c>
      <c r="C49" s="8">
        <v>45754</v>
      </c>
      <c r="D49" s="9">
        <v>29120</v>
      </c>
      <c r="E49" s="9">
        <v>25536</v>
      </c>
      <c r="F49" s="9">
        <v>3584</v>
      </c>
      <c r="G49" s="9">
        <v>2240</v>
      </c>
      <c r="H49" s="9">
        <v>25536</v>
      </c>
      <c r="I49" s="9">
        <v>1344</v>
      </c>
      <c r="J49" s="7" t="s">
        <v>16</v>
      </c>
      <c r="K49" s="7" t="s">
        <v>14</v>
      </c>
      <c r="L49" s="1"/>
    </row>
    <row r="50" spans="1:12">
      <c r="A50" s="1" t="s">
        <v>61</v>
      </c>
      <c r="B50" s="7">
        <v>2000011854</v>
      </c>
      <c r="C50" s="8">
        <v>45761</v>
      </c>
      <c r="D50" s="9">
        <v>54696</v>
      </c>
      <c r="E50" s="9">
        <v>46440</v>
      </c>
      <c r="F50" s="9">
        <v>8256</v>
      </c>
      <c r="G50" s="9">
        <v>9115.9570000000003</v>
      </c>
      <c r="H50" s="9">
        <v>44720</v>
      </c>
      <c r="I50" s="9">
        <v>860.04300000000001</v>
      </c>
      <c r="J50" s="7" t="s">
        <v>16</v>
      </c>
      <c r="K50" s="7" t="s">
        <v>14</v>
      </c>
      <c r="L50" s="1"/>
    </row>
    <row r="51" spans="1:12">
      <c r="A51" s="1" t="s">
        <v>62</v>
      </c>
      <c r="B51" s="7">
        <v>2000011855</v>
      </c>
      <c r="C51" s="8">
        <v>45761</v>
      </c>
      <c r="D51" s="9">
        <v>58630</v>
      </c>
      <c r="E51" s="9">
        <v>35090</v>
      </c>
      <c r="F51" s="9">
        <v>23540</v>
      </c>
      <c r="G51" s="9">
        <v>23892</v>
      </c>
      <c r="H51" s="9">
        <v>34034</v>
      </c>
      <c r="I51" s="9">
        <v>704</v>
      </c>
      <c r="J51" s="7" t="s">
        <v>16</v>
      </c>
      <c r="K51" s="7" t="s">
        <v>14</v>
      </c>
      <c r="L51" s="1"/>
    </row>
    <row r="52" spans="1:12">
      <c r="A52" s="1" t="s">
        <v>63</v>
      </c>
      <c r="B52" s="7">
        <v>2000011936</v>
      </c>
      <c r="C52" s="8">
        <v>45775</v>
      </c>
      <c r="D52" s="9">
        <v>55575</v>
      </c>
      <c r="E52" s="9">
        <v>47430</v>
      </c>
      <c r="F52" s="9">
        <v>8145</v>
      </c>
      <c r="G52" s="9">
        <v>8099.9324999999999</v>
      </c>
      <c r="H52" s="9">
        <v>46800</v>
      </c>
      <c r="I52" s="9">
        <v>675.0675</v>
      </c>
      <c r="J52" s="7" t="s">
        <v>16</v>
      </c>
      <c r="K52" s="7" t="s">
        <v>14</v>
      </c>
      <c r="L52" s="1"/>
    </row>
    <row r="53" spans="1:12">
      <c r="A53" s="1" t="s">
        <v>64</v>
      </c>
      <c r="B53" s="7">
        <v>2000011999</v>
      </c>
      <c r="C53" s="8">
        <v>45781</v>
      </c>
      <c r="D53" s="9">
        <v>8000</v>
      </c>
      <c r="E53" s="9">
        <v>8000</v>
      </c>
      <c r="F53" s="9">
        <v>0</v>
      </c>
      <c r="G53" s="9">
        <v>0</v>
      </c>
      <c r="H53" s="9">
        <v>8000</v>
      </c>
      <c r="I53" s="9">
        <v>0</v>
      </c>
      <c r="J53" s="7" t="s">
        <v>26</v>
      </c>
      <c r="K53" s="7" t="s">
        <v>14</v>
      </c>
      <c r="L53" s="1"/>
    </row>
    <row r="54" spans="1:12">
      <c r="A54" s="1" t="s">
        <v>65</v>
      </c>
      <c r="B54" s="7">
        <v>2000012008</v>
      </c>
      <c r="C54" s="8">
        <v>45782</v>
      </c>
      <c r="D54" s="9">
        <v>95897.7</v>
      </c>
      <c r="E54" s="9">
        <v>34633.919999999998</v>
      </c>
      <c r="F54" s="9">
        <v>61263.78</v>
      </c>
      <c r="G54" s="9">
        <v>5638.08</v>
      </c>
      <c r="H54" s="9">
        <v>34231.199999999997</v>
      </c>
      <c r="I54" s="9">
        <v>56028.42</v>
      </c>
      <c r="J54" s="7" t="s">
        <v>16</v>
      </c>
      <c r="K54" s="7" t="s">
        <v>14</v>
      </c>
      <c r="L54" s="1"/>
    </row>
    <row r="55" spans="1:12">
      <c r="A55" s="1" t="s">
        <v>66</v>
      </c>
      <c r="B55" s="7">
        <v>2000012037</v>
      </c>
      <c r="C55" s="8">
        <v>45784</v>
      </c>
      <c r="D55" s="9">
        <v>38280</v>
      </c>
      <c r="E55" s="9">
        <v>38280</v>
      </c>
      <c r="F55" s="9">
        <v>0</v>
      </c>
      <c r="G55" s="9">
        <v>0</v>
      </c>
      <c r="H55" s="9">
        <v>38280</v>
      </c>
      <c r="I55" s="9">
        <v>0</v>
      </c>
      <c r="J55" s="7" t="s">
        <v>26</v>
      </c>
      <c r="K55" s="7" t="s">
        <v>14</v>
      </c>
      <c r="L55" s="1"/>
    </row>
    <row r="56" spans="1:12">
      <c r="A56" s="1" t="s">
        <v>67</v>
      </c>
      <c r="B56" s="7">
        <v>2000012048</v>
      </c>
      <c r="C56" s="8">
        <v>45785</v>
      </c>
      <c r="D56" s="9">
        <v>53760</v>
      </c>
      <c r="E56" s="9">
        <v>28500</v>
      </c>
      <c r="F56" s="9">
        <v>25260</v>
      </c>
      <c r="G56" s="9">
        <v>8820</v>
      </c>
      <c r="H56" s="9">
        <v>28499.8</v>
      </c>
      <c r="I56" s="9">
        <v>16440.2</v>
      </c>
      <c r="J56" s="7" t="s">
        <v>26</v>
      </c>
      <c r="K56" s="7" t="s">
        <v>14</v>
      </c>
      <c r="L56" s="1"/>
    </row>
    <row r="57" spans="1:12">
      <c r="A57" s="1" t="s">
        <v>68</v>
      </c>
      <c r="B57" s="7">
        <v>2000012058</v>
      </c>
      <c r="C57" s="8">
        <v>45788</v>
      </c>
      <c r="D57" s="9">
        <v>225000</v>
      </c>
      <c r="E57" s="9">
        <v>42000</v>
      </c>
      <c r="F57" s="9">
        <v>183000</v>
      </c>
      <c r="G57" s="9">
        <v>21600</v>
      </c>
      <c r="H57" s="9">
        <v>42000</v>
      </c>
      <c r="I57" s="9">
        <v>161400</v>
      </c>
      <c r="J57" s="7" t="s">
        <v>26</v>
      </c>
      <c r="K57" s="7" t="s">
        <v>14</v>
      </c>
      <c r="L57" s="1"/>
    </row>
    <row r="58" spans="1:12">
      <c r="A58" s="1" t="s">
        <v>69</v>
      </c>
      <c r="B58" s="7">
        <v>2000012099</v>
      </c>
      <c r="C58" s="8">
        <v>45795</v>
      </c>
      <c r="D58" s="9">
        <v>45764.32</v>
      </c>
      <c r="E58" s="9">
        <v>44651.21</v>
      </c>
      <c r="F58" s="9">
        <v>1113.1099999999999</v>
      </c>
      <c r="G58" s="9">
        <v>0</v>
      </c>
      <c r="H58" s="9">
        <v>44651.21</v>
      </c>
      <c r="I58" s="9">
        <v>1113.1099999999999</v>
      </c>
      <c r="J58" s="7" t="s">
        <v>16</v>
      </c>
      <c r="K58" s="7" t="s">
        <v>14</v>
      </c>
      <c r="L58" s="1"/>
    </row>
    <row r="59" spans="1:12">
      <c r="A59" s="1" t="s">
        <v>70</v>
      </c>
      <c r="B59" s="7">
        <v>2000012102</v>
      </c>
      <c r="C59" s="8">
        <v>45795</v>
      </c>
      <c r="D59" s="9">
        <v>29120</v>
      </c>
      <c r="E59" s="9">
        <v>10304</v>
      </c>
      <c r="F59" s="9">
        <v>18816</v>
      </c>
      <c r="G59" s="9">
        <v>5992</v>
      </c>
      <c r="H59" s="9">
        <v>5824</v>
      </c>
      <c r="I59" s="9">
        <v>17304</v>
      </c>
      <c r="J59" s="7" t="s">
        <v>26</v>
      </c>
      <c r="K59" s="7" t="s">
        <v>14</v>
      </c>
      <c r="L59" s="1"/>
    </row>
    <row r="60" spans="1:12">
      <c r="A60" s="1" t="s">
        <v>71</v>
      </c>
      <c r="B60" s="7">
        <v>2000012133</v>
      </c>
      <c r="C60" s="8">
        <v>45798</v>
      </c>
      <c r="D60" s="9">
        <v>80811</v>
      </c>
      <c r="E60" s="9">
        <v>54896</v>
      </c>
      <c r="F60" s="9">
        <v>25915</v>
      </c>
      <c r="G60" s="9">
        <v>4964</v>
      </c>
      <c r="H60" s="9">
        <v>54896</v>
      </c>
      <c r="I60" s="9">
        <v>20951</v>
      </c>
      <c r="J60" s="7" t="s">
        <v>26</v>
      </c>
      <c r="K60" s="7" t="s">
        <v>14</v>
      </c>
      <c r="L60" s="1"/>
    </row>
    <row r="61" spans="1:12">
      <c r="A61" s="1" t="s">
        <v>72</v>
      </c>
      <c r="B61" s="7">
        <v>2000012134</v>
      </c>
      <c r="C61" s="8">
        <v>45798</v>
      </c>
      <c r="D61" s="9">
        <v>29671.69</v>
      </c>
      <c r="E61" s="9">
        <v>28943.72</v>
      </c>
      <c r="F61" s="9">
        <v>727.97</v>
      </c>
      <c r="G61" s="9">
        <v>0</v>
      </c>
      <c r="H61" s="9">
        <v>28943.72</v>
      </c>
      <c r="I61" s="9">
        <v>727.97</v>
      </c>
      <c r="J61" s="7" t="s">
        <v>26</v>
      </c>
      <c r="K61" s="7" t="s">
        <v>14</v>
      </c>
      <c r="L61" s="1"/>
    </row>
    <row r="62" spans="1:12">
      <c r="A62" s="1" t="s">
        <v>73</v>
      </c>
      <c r="B62" s="7">
        <v>2000012141</v>
      </c>
      <c r="C62" s="8">
        <v>45798</v>
      </c>
      <c r="D62" s="9">
        <v>212960</v>
      </c>
      <c r="E62" s="9">
        <v>68640</v>
      </c>
      <c r="F62" s="9">
        <v>144320</v>
      </c>
      <c r="G62" s="9">
        <v>21120</v>
      </c>
      <c r="H62" s="9">
        <v>68640</v>
      </c>
      <c r="I62" s="9">
        <v>123200</v>
      </c>
      <c r="J62" s="7" t="s">
        <v>16</v>
      </c>
      <c r="K62" s="7" t="s">
        <v>14</v>
      </c>
      <c r="L62" s="1"/>
    </row>
    <row r="63" spans="1:12">
      <c r="A63" s="1" t="s">
        <v>74</v>
      </c>
      <c r="B63" s="7">
        <v>2000012155</v>
      </c>
      <c r="C63" s="8">
        <v>45803</v>
      </c>
      <c r="D63" s="9">
        <v>132687.32500000001</v>
      </c>
      <c r="E63" s="9">
        <v>132687.32500000001</v>
      </c>
      <c r="F63" s="9">
        <v>0</v>
      </c>
      <c r="G63" s="9">
        <v>4605.2</v>
      </c>
      <c r="H63" s="9">
        <v>123879.88</v>
      </c>
      <c r="I63" s="9">
        <v>4202.2449999999999</v>
      </c>
      <c r="J63" s="7" t="s">
        <v>16</v>
      </c>
      <c r="K63" s="7" t="s">
        <v>14</v>
      </c>
      <c r="L63" s="1"/>
    </row>
    <row r="64" spans="1:12">
      <c r="A64" s="1" t="s">
        <v>75</v>
      </c>
      <c r="B64" s="7">
        <v>2000012156</v>
      </c>
      <c r="C64" s="8">
        <v>45803</v>
      </c>
      <c r="D64" s="9">
        <v>119847</v>
      </c>
      <c r="E64" s="9">
        <v>119847</v>
      </c>
      <c r="F64" s="9">
        <v>0</v>
      </c>
      <c r="G64" s="9">
        <v>12915</v>
      </c>
      <c r="H64" s="9">
        <v>105672</v>
      </c>
      <c r="I64" s="9">
        <v>1260</v>
      </c>
      <c r="J64" s="7" t="s">
        <v>16</v>
      </c>
      <c r="K64" s="7" t="s">
        <v>14</v>
      </c>
      <c r="L64" s="1"/>
    </row>
    <row r="65" spans="1:12">
      <c r="A65" s="1" t="s">
        <v>76</v>
      </c>
      <c r="B65" s="7">
        <v>2000012247</v>
      </c>
      <c r="C65" s="8">
        <v>45812</v>
      </c>
      <c r="D65" s="9">
        <v>87360</v>
      </c>
      <c r="E65" s="9">
        <v>0</v>
      </c>
      <c r="F65" s="9">
        <v>87360</v>
      </c>
      <c r="G65" s="9">
        <v>87360</v>
      </c>
      <c r="H65" s="9">
        <v>0</v>
      </c>
      <c r="I65" s="9">
        <v>0</v>
      </c>
      <c r="J65" s="7" t="s">
        <v>16</v>
      </c>
      <c r="K65" s="7" t="s">
        <v>14</v>
      </c>
      <c r="L65" s="1"/>
    </row>
    <row r="66" spans="1:12">
      <c r="A66" s="1" t="s">
        <v>77</v>
      </c>
      <c r="B66" s="7">
        <v>2000012278</v>
      </c>
      <c r="C66" s="8">
        <v>45818</v>
      </c>
      <c r="D66" s="9">
        <v>42080</v>
      </c>
      <c r="E66" s="9">
        <v>42080</v>
      </c>
      <c r="F66" s="9">
        <v>0</v>
      </c>
      <c r="G66" s="9">
        <v>37450</v>
      </c>
      <c r="H66" s="9">
        <v>0</v>
      </c>
      <c r="I66" s="9">
        <v>4630</v>
      </c>
      <c r="J66" s="7" t="s">
        <v>26</v>
      </c>
      <c r="K66" s="7" t="s">
        <v>14</v>
      </c>
      <c r="L66" s="1"/>
    </row>
    <row r="67" spans="1:12">
      <c r="A67" s="1" t="s">
        <v>29</v>
      </c>
      <c r="B67" s="7">
        <v>2000012303</v>
      </c>
      <c r="C67" s="8">
        <v>45824</v>
      </c>
      <c r="D67" s="9">
        <v>55440</v>
      </c>
      <c r="E67" s="9">
        <v>0</v>
      </c>
      <c r="F67" s="9">
        <v>55440</v>
      </c>
      <c r="G67" s="9">
        <v>0</v>
      </c>
      <c r="H67" s="9">
        <v>0</v>
      </c>
      <c r="I67" s="9">
        <v>55440</v>
      </c>
      <c r="J67" s="7" t="s">
        <v>16</v>
      </c>
      <c r="K67" s="7" t="s">
        <v>14</v>
      </c>
      <c r="L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3DB1-4038-46F3-8729-D8417C56C939}">
  <dimension ref="A1:K10"/>
  <sheetViews>
    <sheetView workbookViewId="0">
      <selection activeCell="A15" sqref="A15"/>
    </sheetView>
  </sheetViews>
  <sheetFormatPr defaultRowHeight="12"/>
  <cols>
    <col min="1" max="1" width="52.5" customWidth="1"/>
    <col min="2" max="2" width="11.5" bestFit="1" customWidth="1"/>
    <col min="3" max="3" width="10" bestFit="1" customWidth="1"/>
    <col min="4" max="4" width="12.33203125" bestFit="1" customWidth="1"/>
    <col min="5" max="5" width="11.83203125" bestFit="1" customWidth="1"/>
    <col min="6" max="6" width="12.33203125" bestFit="1" customWidth="1"/>
    <col min="7" max="7" width="25.1640625" bestFit="1" customWidth="1"/>
    <col min="8" max="8" width="15.5" bestFit="1" customWidth="1"/>
    <col min="9" max="9" width="15.33203125" bestFit="1" customWidth="1"/>
    <col min="10" max="10" width="16" bestFit="1" customWidth="1"/>
    <col min="11" max="11" width="15.1640625" bestFit="1" customWidth="1"/>
  </cols>
  <sheetData>
    <row r="1" spans="1:11">
      <c r="A1" s="5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 t="s">
        <v>9</v>
      </c>
      <c r="K1" s="2" t="s">
        <v>10</v>
      </c>
    </row>
    <row r="2" spans="1:11">
      <c r="A2" s="1" t="s">
        <v>12</v>
      </c>
      <c r="B2" s="7">
        <v>2000011279</v>
      </c>
      <c r="C2" s="8">
        <v>45673</v>
      </c>
      <c r="D2" s="9">
        <v>42120</v>
      </c>
      <c r="E2" s="9">
        <v>33372</v>
      </c>
      <c r="F2" s="9">
        <v>8748</v>
      </c>
      <c r="G2" s="9">
        <v>5832</v>
      </c>
      <c r="H2" s="9">
        <v>32724</v>
      </c>
      <c r="I2" s="9">
        <v>3564</v>
      </c>
      <c r="J2" s="7" t="s">
        <v>13</v>
      </c>
      <c r="K2" s="7" t="s">
        <v>14</v>
      </c>
    </row>
    <row r="3" spans="1:11">
      <c r="A3" s="1" t="s">
        <v>15</v>
      </c>
      <c r="B3" s="7">
        <v>2000011289</v>
      </c>
      <c r="C3" s="8">
        <v>45678</v>
      </c>
      <c r="D3" s="9">
        <v>175440</v>
      </c>
      <c r="E3" s="9">
        <v>31960</v>
      </c>
      <c r="F3" s="9">
        <v>143480</v>
      </c>
      <c r="G3" s="9">
        <v>0</v>
      </c>
      <c r="H3" s="9">
        <v>28560</v>
      </c>
      <c r="I3" s="9">
        <v>0</v>
      </c>
      <c r="J3" s="7" t="s">
        <v>16</v>
      </c>
      <c r="K3" s="7" t="s">
        <v>14</v>
      </c>
    </row>
    <row r="4" spans="1:11">
      <c r="A4" s="1" t="s">
        <v>17</v>
      </c>
      <c r="B4" s="7">
        <v>2000011308</v>
      </c>
      <c r="C4" s="8">
        <v>45680</v>
      </c>
      <c r="D4" s="9">
        <v>5120</v>
      </c>
      <c r="E4" s="9">
        <v>5120</v>
      </c>
      <c r="F4" s="9">
        <v>0</v>
      </c>
      <c r="G4" s="9">
        <v>0</v>
      </c>
      <c r="H4" s="9">
        <v>5120</v>
      </c>
      <c r="I4" s="9">
        <v>0</v>
      </c>
      <c r="J4" s="7" t="s">
        <v>16</v>
      </c>
      <c r="K4" s="7" t="s">
        <v>14</v>
      </c>
    </row>
    <row r="5" spans="1:11">
      <c r="A5" s="1" t="s">
        <v>18</v>
      </c>
      <c r="B5" s="7">
        <v>2000011325</v>
      </c>
      <c r="C5" s="8">
        <v>45684</v>
      </c>
      <c r="D5" s="9">
        <v>60690</v>
      </c>
      <c r="E5" s="9">
        <v>35210</v>
      </c>
      <c r="F5" s="9">
        <v>25480</v>
      </c>
      <c r="G5" s="9">
        <v>4445</v>
      </c>
      <c r="H5" s="9">
        <v>31430</v>
      </c>
      <c r="I5" s="9">
        <v>24815</v>
      </c>
      <c r="J5" s="7" t="s">
        <v>16</v>
      </c>
      <c r="K5" s="7" t="s">
        <v>14</v>
      </c>
    </row>
    <row r="6" spans="1:11">
      <c r="A6" s="1" t="s">
        <v>19</v>
      </c>
      <c r="B6" s="7">
        <v>2000011366</v>
      </c>
      <c r="C6" s="8">
        <v>45687</v>
      </c>
      <c r="D6" s="9">
        <v>63504</v>
      </c>
      <c r="E6" s="9">
        <v>52116.75</v>
      </c>
      <c r="F6" s="9">
        <v>11387.25</v>
      </c>
      <c r="G6" s="9">
        <v>0</v>
      </c>
      <c r="H6" s="9">
        <v>52116.75</v>
      </c>
      <c r="I6" s="9">
        <v>11387.25</v>
      </c>
      <c r="J6" s="7" t="s">
        <v>16</v>
      </c>
      <c r="K6" s="7" t="s">
        <v>14</v>
      </c>
    </row>
    <row r="7" spans="1:11">
      <c r="A7" s="1" t="s">
        <v>20</v>
      </c>
      <c r="B7" s="7">
        <v>2000011371</v>
      </c>
      <c r="C7" s="8">
        <v>45687</v>
      </c>
      <c r="D7" s="9">
        <v>112051.125</v>
      </c>
      <c r="E7" s="9">
        <v>23458.25</v>
      </c>
      <c r="F7" s="9">
        <v>88592.875</v>
      </c>
      <c r="G7" s="9">
        <v>0</v>
      </c>
      <c r="H7" s="9">
        <v>18527.125</v>
      </c>
      <c r="I7" s="9">
        <v>0</v>
      </c>
      <c r="J7" s="7" t="s">
        <v>16</v>
      </c>
      <c r="K7" s="7" t="s">
        <v>14</v>
      </c>
    </row>
    <row r="8" spans="1:11">
      <c r="A8" s="1" t="s">
        <v>21</v>
      </c>
      <c r="B8" s="7">
        <v>2000011421</v>
      </c>
      <c r="C8" s="8">
        <v>45699</v>
      </c>
      <c r="D8" s="9">
        <v>161600</v>
      </c>
      <c r="E8" s="9">
        <v>80800</v>
      </c>
      <c r="F8" s="9">
        <v>80800</v>
      </c>
      <c r="G8" s="9">
        <v>19200</v>
      </c>
      <c r="H8" s="9">
        <v>61600</v>
      </c>
      <c r="I8" s="9">
        <v>80800</v>
      </c>
      <c r="J8" s="7" t="s">
        <v>16</v>
      </c>
      <c r="K8" s="7" t="s">
        <v>14</v>
      </c>
    </row>
    <row r="9" spans="1:11">
      <c r="A9" s="1" t="s">
        <v>21</v>
      </c>
      <c r="B9" s="7">
        <v>2000011422</v>
      </c>
      <c r="C9" s="8">
        <v>45699</v>
      </c>
      <c r="D9" s="9">
        <v>153520</v>
      </c>
      <c r="E9" s="9">
        <v>78280</v>
      </c>
      <c r="F9" s="9">
        <v>75240</v>
      </c>
      <c r="G9" s="9">
        <v>0</v>
      </c>
      <c r="H9" s="9">
        <v>78280</v>
      </c>
      <c r="I9" s="9">
        <v>75240</v>
      </c>
      <c r="J9" s="7" t="s">
        <v>16</v>
      </c>
      <c r="K9" s="7" t="s">
        <v>14</v>
      </c>
    </row>
    <row r="10" spans="1:11">
      <c r="A10" s="1" t="s">
        <v>21</v>
      </c>
      <c r="B10" s="7">
        <v>2000011423</v>
      </c>
      <c r="C10" s="8">
        <v>45699</v>
      </c>
      <c r="D10" s="9">
        <v>153520</v>
      </c>
      <c r="E10" s="9">
        <v>79800</v>
      </c>
      <c r="F10" s="9">
        <v>73720</v>
      </c>
      <c r="G10" s="9">
        <v>10640</v>
      </c>
      <c r="H10" s="9">
        <v>79800</v>
      </c>
      <c r="I10" s="9">
        <v>63080</v>
      </c>
      <c r="J10" s="7" t="s">
        <v>16</v>
      </c>
      <c r="K10" s="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1146-41DA-4FAD-930E-2AC15A7D56C5}">
  <dimension ref="A1:K10"/>
  <sheetViews>
    <sheetView tabSelected="1" workbookViewId="0">
      <selection activeCell="F2" sqref="F2:F10"/>
    </sheetView>
  </sheetViews>
  <sheetFormatPr defaultRowHeight="12"/>
  <cols>
    <col min="1" max="1" width="23.6640625" bestFit="1" customWidth="1"/>
    <col min="2" max="2" width="24.1640625" bestFit="1" customWidth="1"/>
    <col min="3" max="3" width="26.1640625" bestFit="1" customWidth="1"/>
    <col min="4" max="4" width="13.1640625" bestFit="1" customWidth="1"/>
    <col min="5" max="5" width="16.33203125" bestFit="1" customWidth="1"/>
    <col min="6" max="6" width="16.33203125" customWidth="1"/>
    <col min="7" max="7" width="15.1640625" bestFit="1" customWidth="1"/>
    <col min="8" max="8" width="10.1640625" bestFit="1" customWidth="1"/>
    <col min="9" max="9" width="16.6640625" bestFit="1" customWidth="1"/>
    <col min="10" max="10" width="14.5" bestFit="1" customWidth="1"/>
    <col min="11" max="11" width="15.83203125" bestFit="1" customWidth="1"/>
  </cols>
  <sheetData>
    <row r="1" spans="1:11" ht="15">
      <c r="A1" s="10" t="s">
        <v>78</v>
      </c>
      <c r="B1" s="11" t="s">
        <v>79</v>
      </c>
      <c r="C1" s="10" t="s">
        <v>80</v>
      </c>
      <c r="D1" s="12" t="s">
        <v>81</v>
      </c>
      <c r="E1" s="12" t="s">
        <v>82</v>
      </c>
      <c r="F1" s="12"/>
      <c r="G1" s="13" t="s">
        <v>83</v>
      </c>
      <c r="H1" s="13" t="s">
        <v>84</v>
      </c>
      <c r="I1" s="13" t="s">
        <v>85</v>
      </c>
      <c r="J1" s="13" t="s">
        <v>86</v>
      </c>
      <c r="K1" s="13" t="s">
        <v>87</v>
      </c>
    </row>
    <row r="2" spans="1:11">
      <c r="A2" s="14" t="s">
        <v>88</v>
      </c>
      <c r="B2" s="15">
        <v>45677</v>
      </c>
      <c r="C2" s="14" t="s">
        <v>89</v>
      </c>
      <c r="D2" s="16">
        <v>2000007631</v>
      </c>
      <c r="E2" s="16">
        <v>1024168</v>
      </c>
      <c r="F2" s="16" t="e">
        <f>VLOOKUP(D2,sheet1!B:G,5,TRUE)</f>
        <v>#N/A</v>
      </c>
      <c r="G2" s="17">
        <v>742.5</v>
      </c>
      <c r="H2" s="17">
        <v>0</v>
      </c>
      <c r="I2" s="17">
        <v>0</v>
      </c>
      <c r="J2" s="17">
        <v>0</v>
      </c>
      <c r="K2" s="17">
        <v>742.5</v>
      </c>
    </row>
    <row r="3" spans="1:11">
      <c r="A3" s="14" t="s">
        <v>88</v>
      </c>
      <c r="B3" s="15">
        <v>45663</v>
      </c>
      <c r="C3" s="14" t="s">
        <v>90</v>
      </c>
      <c r="D3" s="16">
        <v>2000010086</v>
      </c>
      <c r="E3" s="16">
        <v>1023698</v>
      </c>
      <c r="F3" s="16" t="e">
        <f>VLOOKUP(D3,sheet1!B:G,5,TRUE)</f>
        <v>#N/A</v>
      </c>
      <c r="G3" s="17">
        <v>1720</v>
      </c>
      <c r="H3" s="17">
        <v>0</v>
      </c>
      <c r="I3" s="17">
        <v>0</v>
      </c>
      <c r="J3" s="17">
        <v>0</v>
      </c>
      <c r="K3" s="17">
        <v>1720</v>
      </c>
    </row>
    <row r="4" spans="1:11">
      <c r="A4" s="14" t="s">
        <v>88</v>
      </c>
      <c r="B4" s="15">
        <v>45705</v>
      </c>
      <c r="C4" s="14" t="s">
        <v>91</v>
      </c>
      <c r="D4" s="16">
        <v>2000010358</v>
      </c>
      <c r="E4" s="16">
        <v>1025404</v>
      </c>
      <c r="F4" s="16" t="e">
        <f>VLOOKUP(D4,sheet1!B:G,5,TRUE)</f>
        <v>#N/A</v>
      </c>
      <c r="G4" s="17">
        <v>680</v>
      </c>
      <c r="H4" s="17">
        <v>0</v>
      </c>
      <c r="I4" s="17">
        <v>0</v>
      </c>
      <c r="J4" s="17">
        <v>0</v>
      </c>
      <c r="K4" s="17">
        <v>680</v>
      </c>
    </row>
    <row r="5" spans="1:11">
      <c r="A5" s="14" t="s">
        <v>88</v>
      </c>
      <c r="B5" s="15">
        <v>45712</v>
      </c>
      <c r="C5" s="14" t="s">
        <v>92</v>
      </c>
      <c r="D5" s="16">
        <v>2000010724</v>
      </c>
      <c r="E5" s="16">
        <v>1025758</v>
      </c>
      <c r="F5" s="16" t="e">
        <f>VLOOKUP(D5,sheet1!B:G,5,TRUE)</f>
        <v>#N/A</v>
      </c>
      <c r="G5" s="17">
        <v>1856</v>
      </c>
      <c r="H5" s="17">
        <v>0</v>
      </c>
      <c r="I5" s="17">
        <v>0</v>
      </c>
      <c r="J5" s="17">
        <v>0</v>
      </c>
      <c r="K5" s="17">
        <v>1856</v>
      </c>
    </row>
    <row r="6" spans="1:11">
      <c r="A6" s="14" t="s">
        <v>88</v>
      </c>
      <c r="B6" s="15">
        <v>45719</v>
      </c>
      <c r="C6" s="14" t="s">
        <v>93</v>
      </c>
      <c r="D6" s="16">
        <v>2000010724</v>
      </c>
      <c r="E6" s="16">
        <v>1025976</v>
      </c>
      <c r="F6" s="16" t="e">
        <f>VLOOKUP(D6,sheet1!B:G,5,TRUE)</f>
        <v>#N/A</v>
      </c>
      <c r="G6" s="17">
        <v>4640</v>
      </c>
      <c r="H6" s="17">
        <v>0</v>
      </c>
      <c r="I6" s="17">
        <v>0</v>
      </c>
      <c r="J6" s="17">
        <v>0</v>
      </c>
      <c r="K6" s="17">
        <v>4640</v>
      </c>
    </row>
    <row r="7" spans="1:11">
      <c r="A7" s="14" t="s">
        <v>88</v>
      </c>
      <c r="B7" s="15">
        <v>45724</v>
      </c>
      <c r="C7" s="14" t="s">
        <v>94</v>
      </c>
      <c r="D7" s="16">
        <v>2000010724</v>
      </c>
      <c r="E7" s="16">
        <v>1026080</v>
      </c>
      <c r="F7" s="16" t="e">
        <f>VLOOKUP(D7,sheet1!B:G,5,TRUE)</f>
        <v>#N/A</v>
      </c>
      <c r="G7" s="17">
        <v>4640</v>
      </c>
      <c r="H7" s="17">
        <v>0</v>
      </c>
      <c r="I7" s="17">
        <v>0</v>
      </c>
      <c r="J7" s="17">
        <v>0</v>
      </c>
      <c r="K7" s="17">
        <v>4640</v>
      </c>
    </row>
    <row r="8" spans="1:11">
      <c r="A8" s="14" t="s">
        <v>88</v>
      </c>
      <c r="B8" s="15">
        <v>45695</v>
      </c>
      <c r="C8" s="14" t="s">
        <v>95</v>
      </c>
      <c r="D8" s="16">
        <v>2000010805</v>
      </c>
      <c r="E8" s="16">
        <v>1025011</v>
      </c>
      <c r="F8" s="16" t="e">
        <f>VLOOKUP(D8,sheet1!B:G,5,TRUE)</f>
        <v>#N/A</v>
      </c>
      <c r="G8" s="17">
        <v>4160</v>
      </c>
      <c r="H8" s="17">
        <v>0</v>
      </c>
      <c r="I8" s="17">
        <v>0</v>
      </c>
      <c r="J8" s="17">
        <v>0</v>
      </c>
      <c r="K8" s="17">
        <v>4160</v>
      </c>
    </row>
    <row r="9" spans="1:11">
      <c r="A9" s="14" t="s">
        <v>88</v>
      </c>
      <c r="B9" s="15">
        <v>45724</v>
      </c>
      <c r="C9" s="14" t="s">
        <v>96</v>
      </c>
      <c r="D9" s="16">
        <v>2000010831</v>
      </c>
      <c r="E9" s="16">
        <v>1026064</v>
      </c>
      <c r="F9" s="16" t="e">
        <f>VLOOKUP(D9,sheet1!B:G,5,TRUE)</f>
        <v>#N/A</v>
      </c>
      <c r="G9" s="17">
        <v>2400</v>
      </c>
      <c r="H9" s="17">
        <v>0</v>
      </c>
      <c r="I9" s="17">
        <v>0</v>
      </c>
      <c r="J9" s="17">
        <v>0</v>
      </c>
      <c r="K9" s="17">
        <v>2400</v>
      </c>
    </row>
    <row r="10" spans="1:11">
      <c r="A10" s="14" t="s">
        <v>88</v>
      </c>
      <c r="B10" s="15">
        <v>45731</v>
      </c>
      <c r="C10" s="14" t="s">
        <v>97</v>
      </c>
      <c r="D10" s="16">
        <v>2000010831</v>
      </c>
      <c r="E10" s="16">
        <v>1026364</v>
      </c>
      <c r="F10" s="16" t="e">
        <f>VLOOKUP(D10,sheet1!B:G,5,TRUE)</f>
        <v>#N/A</v>
      </c>
      <c r="G10" s="17">
        <v>2400</v>
      </c>
      <c r="H10" s="17">
        <v>0</v>
      </c>
      <c r="I10" s="17">
        <v>0</v>
      </c>
      <c r="J10" s="17">
        <v>0</v>
      </c>
      <c r="K10" s="17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</dc:creator>
  <cp:keywords/>
  <dc:description/>
  <cp:lastModifiedBy>Steve Morgan</cp:lastModifiedBy>
  <cp:revision/>
  <dcterms:created xsi:type="dcterms:W3CDTF">2014-12-25T03:06:34Z</dcterms:created>
  <dcterms:modified xsi:type="dcterms:W3CDTF">2025-07-10T02:51:27Z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4c9120-77f7-471a-bfda-e26fbcd75f10_Enabled">
    <vt:lpwstr>true</vt:lpwstr>
  </property>
  <property fmtid="{D5CDD505-2E9C-101B-9397-08002B2CF9AE}" pid="3" name="MSIP_Label_7e4c9120-77f7-471a-bfda-e26fbcd75f10_SetDate">
    <vt:lpwstr>2025-07-01T00:20:22Z</vt:lpwstr>
  </property>
  <property fmtid="{D5CDD505-2E9C-101B-9397-08002B2CF9AE}" pid="4" name="MSIP_Label_7e4c9120-77f7-471a-bfda-e26fbcd75f10_Method">
    <vt:lpwstr>Standard</vt:lpwstr>
  </property>
  <property fmtid="{D5CDD505-2E9C-101B-9397-08002B2CF9AE}" pid="5" name="MSIP_Label_7e4c9120-77f7-471a-bfda-e26fbcd75f10_Name">
    <vt:lpwstr>defa4170-0d19-0005-0004-bc88714345d2</vt:lpwstr>
  </property>
  <property fmtid="{D5CDD505-2E9C-101B-9397-08002B2CF9AE}" pid="6" name="MSIP_Label_7e4c9120-77f7-471a-bfda-e26fbcd75f10_SiteId">
    <vt:lpwstr>bf2023a8-bdec-401f-a080-e0e2737cc45a</vt:lpwstr>
  </property>
  <property fmtid="{D5CDD505-2E9C-101B-9397-08002B2CF9AE}" pid="7" name="MSIP_Label_7e4c9120-77f7-471a-bfda-e26fbcd75f10_ActionId">
    <vt:lpwstr>a28025c6-db39-4f4b-8bfa-d456e5e3322a</vt:lpwstr>
  </property>
  <property fmtid="{D5CDD505-2E9C-101B-9397-08002B2CF9AE}" pid="8" name="MSIP_Label_7e4c9120-77f7-471a-bfda-e26fbcd75f10_ContentBits">
    <vt:lpwstr>0</vt:lpwstr>
  </property>
  <property fmtid="{D5CDD505-2E9C-101B-9397-08002B2CF9AE}" pid="9" name="MSIP_Label_7e4c9120-77f7-471a-bfda-e26fbcd75f10_Tag">
    <vt:lpwstr>10, 3, 0, 1</vt:lpwstr>
  </property>
</Properties>
</file>